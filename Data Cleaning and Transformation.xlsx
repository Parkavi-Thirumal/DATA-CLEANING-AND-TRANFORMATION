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58f905ade0c4dd8/Parkavi/Module 1/Assignment 2/"/>
    </mc:Choice>
  </mc:AlternateContent>
  <xr:revisionPtr revIDLastSave="86" documentId="11_6E623FD8ECE4F609B1AC7BCCA7290F54B1BFD786" xr6:coauthVersionLast="47" xr6:coauthVersionMax="47" xr10:uidLastSave="{4D047EFE-4406-456B-86D4-8EF5D19177BB}"/>
  <bookViews>
    <workbookView xWindow="-108" yWindow="-108" windowWidth="23256" windowHeight="12456" activeTab="1" xr2:uid="{00000000-000D-0000-FFFF-FFFF00000000}"/>
  </bookViews>
  <sheets>
    <sheet name="Dataset" sheetId="2" r:id="rId1"/>
    <sheet name="Sales_Data" sheetId="3" r:id="rId2"/>
  </sheets>
  <definedNames>
    <definedName name="ExternalData_1" localSheetId="1" hidden="1">Sales_Data!$A$1:$J$32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681898-FD76-4839-9618-0E1869B8B338}" keepAlive="1" name="Query - Sales_Data" description="Connection to the 'Sales_Data' query in the workbook." type="5" refreshedVersion="8" background="1" saveData="1">
    <dbPr connection="Provider=Microsoft.Mashup.OleDb.1;Data Source=$Workbook$;Location=Sales_Data;Extended Properties=&quot;&quot;" command="SELECT * FROM [Sales_Data]"/>
  </connection>
</connections>
</file>

<file path=xl/sharedStrings.xml><?xml version="1.0" encoding="utf-8"?>
<sst xmlns="http://schemas.openxmlformats.org/spreadsheetml/2006/main" count="334" uniqueCount="144">
  <si>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</si>
  <si>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</si>
  <si>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</si>
  <si>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</si>
  <si>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</si>
  <si>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</si>
  <si>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</si>
  <si>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</si>
  <si>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</si>
  <si>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</si>
  <si>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</si>
  <si>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</si>
  <si>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</si>
  <si>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</si>
  <si>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</si>
  <si>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</si>
  <si>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</si>
  <si>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</si>
  <si>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</si>
  <si>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</si>
  <si>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</si>
  <si>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</si>
  <si>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</si>
  <si>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</si>
  <si>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</si>
  <si>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</si>
  <si>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</si>
  <si>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</si>
  <si>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</si>
  <si>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</si>
  <si>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</si>
  <si>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</si>
  <si>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</si>
  <si>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</si>
  <si>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</si>
  <si>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</si>
  <si>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</si>
  <si>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</si>
  <si>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</si>
  <si>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</si>
  <si>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</si>
  <si>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</si>
  <si>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</si>
  <si>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</si>
  <si>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</si>
  <si>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</si>
  <si>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</si>
  <si>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</si>
  <si>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</si>
  <si>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</si>
  <si>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</si>
  <si>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</si>
  <si>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</si>
  <si>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</si>
  <si>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</si>
  <si>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</si>
  <si>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</si>
  <si>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</si>
  <si>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</si>
  <si>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</si>
  <si>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</si>
  <si>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</si>
  <si>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</si>
  <si>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</si>
  <si>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</si>
  <si>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</si>
  <si>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</si>
  <si>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</si>
  <si>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</si>
  <si>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</si>
  <si>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</si>
  <si>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</si>
  <si>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</si>
  <si>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</si>
  <si>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</si>
  <si>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</si>
  <si>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</si>
  <si>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</si>
  <si>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</si>
  <si>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</si>
  <si>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</si>
  <si>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</si>
  <si>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</si>
  <si>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</si>
  <si>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</si>
  <si>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</si>
  <si>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</si>
  <si>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</si>
  <si>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</si>
  <si>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</si>
  <si>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</si>
  <si>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</si>
  <si>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</si>
  <si>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</si>
  <si>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</si>
  <si>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</si>
  <si>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</si>
  <si>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Manufacturing Date</t>
  </si>
  <si>
    <t>Country Code</t>
  </si>
  <si>
    <t>Product Brand</t>
  </si>
  <si>
    <t>US</t>
  </si>
  <si>
    <t>Laptop-Dell</t>
  </si>
  <si>
    <t>Sneakers-Nike</t>
  </si>
  <si>
    <t>Coffee Maker-Keurig</t>
  </si>
  <si>
    <t>Smartphone-Samsung</t>
  </si>
  <si>
    <t>Backpack-North Face</t>
  </si>
  <si>
    <t>UK</t>
  </si>
  <si>
    <t>Headphones-Sony</t>
  </si>
  <si>
    <t>T-shirt-Adidas</t>
  </si>
  <si>
    <t>Blender-Ninja</t>
  </si>
  <si>
    <t>Tablet-Apple</t>
  </si>
  <si>
    <t>Hiking Boots-Timberland</t>
  </si>
  <si>
    <t>IN</t>
  </si>
  <si>
    <t>Laptop-HP</t>
  </si>
  <si>
    <t>AU</t>
  </si>
  <si>
    <t>Sneakers-Adidas</t>
  </si>
  <si>
    <t>DE</t>
  </si>
  <si>
    <t>Coffee Maker-Nespresso</t>
  </si>
  <si>
    <t>CA</t>
  </si>
  <si>
    <t>Smartwatch-Fitbit</t>
  </si>
  <si>
    <t>ES</t>
  </si>
  <si>
    <t>Headphones-Bose</t>
  </si>
  <si>
    <t>Laptop Bag-Samsonite</t>
  </si>
  <si>
    <t>CN</t>
  </si>
  <si>
    <t>Smartwatch-Huawei</t>
  </si>
  <si>
    <t>IT</t>
  </si>
  <si>
    <t>Laptop-Asus</t>
  </si>
  <si>
    <t>Sunglasses-Oakley</t>
  </si>
  <si>
    <t>Camping Tent-Coleman</t>
  </si>
  <si>
    <t>RU</t>
  </si>
  <si>
    <t>Camera-Nikon</t>
  </si>
  <si>
    <t>Microwave-Panasonic</t>
  </si>
  <si>
    <t>BR</t>
  </si>
  <si>
    <t>Fitness Tracker-Xiaomi</t>
  </si>
  <si>
    <t>Smartphone-Google</t>
  </si>
  <si>
    <t>Sunglasses-Ray-Ban</t>
  </si>
  <si>
    <t>Blender-Vitamix</t>
  </si>
  <si>
    <t>Dress-Zara</t>
  </si>
  <si>
    <t>Toaster-Hamilton</t>
  </si>
  <si>
    <t>Fitness Tracker-Garmin</t>
  </si>
  <si>
    <t>Jeans-Levi's</t>
  </si>
  <si>
    <t>FR</t>
  </si>
  <si>
    <t>Watch-Casio</t>
  </si>
  <si>
    <t>Updated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</si>
</sst>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$-409]#,##0"/>
  </numFmts>
  <fonts count="5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37"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$-409]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$-409]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6"/>
      <tableStyleElement type="headerRow" dxfId="35"/>
      <tableStyleElement type="totalRow" dxfId="34"/>
      <tableStyleElement type="firstColumn" dxfId="33"/>
      <tableStyleElement type="lastColumn" dxfId="32"/>
      <tableStyleElement type="firstRowStripe" dxfId="31"/>
      <tableStyleElement type="firstColumnStripe" dxfId="30"/>
    </tableStyle>
    <tableStyle name="PivotStylePreset2_Accent1" table="0" count="10" xr9:uid="{267968C8-6FFD-4C36-ACC1-9EA1FD1885CA}">
      <tableStyleElement type="headerRow" dxfId="29"/>
      <tableStyleElement type="totalRow" dxfId="28"/>
      <tableStyleElement type="firstRowStripe" dxfId="27"/>
      <tableStyleElement type="firstColumnStripe" dxfId="26"/>
      <tableStyleElement type="firstSubtotalRow" dxfId="25"/>
      <tableStyleElement type="secondSubtotalRow" dxfId="24"/>
      <tableStyleElement type="firstRowSubheading" dxfId="23"/>
      <tableStyleElement type="secondRowSubheading" dxfId="22"/>
      <tableStyleElement type="pageFieldLabels" dxfId="21"/>
      <tableStyleElement type="pageFieldValues" dxfId="2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EDFEAEC-47C0-4A35-B9E1-3987DA176DB0}" autoFormatId="16" applyNumberFormats="0" applyBorderFormats="0" applyFontFormats="0" applyPatternFormats="0" applyAlignmentFormats="0" applyWidthHeightFormats="0">
  <queryTableRefresh nextId="14">
    <queryTableFields count="10">
      <queryTableField id="1" name="Product ID" tableColumnId="1"/>
      <queryTableField id="7" name="Manufacturing Date" tableColumnId="7"/>
      <queryTableField id="8" name="Country Code" tableColumnId="8"/>
      <queryTableField id="9" name="Product Brand" tableColumnId="9"/>
      <queryTableField id="2" name="Product Name" tableColumnId="2"/>
      <queryTableField id="3" name="Brand Name" tableColumnId="3"/>
      <queryTableField id="4" name="Price ($)" tableColumnId="4"/>
      <queryTableField id="13" dataBound="0" tableColumnId="10"/>
      <queryTableField id="5" name="Quantity" tableColumnId="5"/>
      <queryTableField id="6" name="Category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12B5A4-C719-4FFD-ABA8-6636DF81EB06}" name="Table1" displayName="Table1" ref="A1:F35" totalsRowShown="0" headerRowDxfId="8" dataDxfId="7">
  <autoFilter ref="A1:F35" xr:uid="{6F12B5A4-C719-4FFD-ABA8-6636DF81EB06}"/>
  <tableColumns count="6">
    <tableColumn id="1" xr3:uid="{FC2E679A-6665-49A6-A9C3-871558FDFF71}" name="Product ID" dataDxfId="6"/>
    <tableColumn id="2" xr3:uid="{E1A60470-B96E-471E-98CA-D79C01E10A4D}" name="Product Name" dataDxfId="5"/>
    <tableColumn id="3" xr3:uid="{E29C782F-568D-4A55-A787-6DD24B50C2A1}" name="Brand Name" dataDxfId="4"/>
    <tableColumn id="4" xr3:uid="{A4F10252-417D-42FA-8FF6-F4E157F5CDE0}" name="Price ($)" dataDxfId="3"/>
    <tableColumn id="5" xr3:uid="{671C73A2-DBFC-4FCE-8292-1296F8F581AA}" name="Quantity" dataDxfId="2"/>
    <tableColumn id="6" xr3:uid="{A3B99655-8DA2-40AB-9714-8396340485E4}" name="Category" dataDxfId="1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A0C848-8554-4A5B-9784-1219623E3D14}" name="Sales_Data" displayName="Sales_Data" ref="A1:J32" tableType="queryTable" totalsRowShown="0" dataDxfId="19">
  <autoFilter ref="A1:J32" xr:uid="{77A0C848-8554-4A5B-9784-1219623E3D14}"/>
  <sortState xmlns:xlrd2="http://schemas.microsoft.com/office/spreadsheetml/2017/richdata2" ref="A2:J30">
    <sortCondition ref="E1:E32"/>
  </sortState>
  <tableColumns count="10">
    <tableColumn id="1" xr3:uid="{51C1162A-C4C2-45C3-84FF-AF9C6CEDAEB8}" uniqueName="1" name="Product ID" queryTableFieldId="1" dataDxfId="18"/>
    <tableColumn id="7" xr3:uid="{4FA7511F-0A7F-49F7-8498-F5704D367B26}" uniqueName="7" name="Manufacturing Date" queryTableFieldId="7" dataDxfId="17"/>
    <tableColumn id="8" xr3:uid="{91A66457-6A58-4AD0-AACF-E60A0A05F4EB}" uniqueName="8" name="Country Code" queryTableFieldId="8" dataDxfId="16"/>
    <tableColumn id="9" xr3:uid="{1B357757-909A-48A3-825E-D1F6E88E73BD}" uniqueName="9" name="Product Brand" queryTableFieldId="9" dataDxfId="15"/>
    <tableColumn id="2" xr3:uid="{9743BF83-1472-489A-A13E-22DA72C94763}" uniqueName="2" name="Product Name" queryTableFieldId="2" dataDxfId="14"/>
    <tableColumn id="3" xr3:uid="{A804E40C-8E21-451A-A827-60685EDEE3BB}" uniqueName="3" name="Brand Name" queryTableFieldId="3" dataDxfId="13"/>
    <tableColumn id="4" xr3:uid="{9221AE81-AC5A-46D8-ACE8-063A692F29DD}" uniqueName="4" name="Price ($)" queryTableFieldId="4" dataDxfId="12"/>
    <tableColumn id="10" xr3:uid="{5653C0C0-1131-4254-9964-AE8B59304AA6}" uniqueName="10" name="Updated Price" queryTableFieldId="13" dataDxfId="11">
      <calculatedColumnFormula>IF(ISBLANK(Sales_Data[[#This Row],[Price ($)]]),AVERAGEIF(Sales_Data[Category],Sales_Data[[#This Row],[Category]],$G$2:$G$32),Sales_Data[[#This Row],[Price ($)]])</calculatedColumnFormula>
    </tableColumn>
    <tableColumn id="5" xr3:uid="{E3303098-1F28-489B-9A2E-15D4054EB3F6}" uniqueName="5" name="Quantity" queryTableFieldId="5" dataDxfId="10"/>
    <tableColumn id="6" xr3:uid="{C1B20675-0C4B-4645-BAFA-A969E6B192F9}" uniqueName="6" name="Category" queryTableFieldId="6" dataDxfId="9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0"/>
  <sheetViews>
    <sheetView workbookViewId="0">
      <selection sqref="A1:F35"/>
    </sheetView>
  </sheetViews>
  <sheetFormatPr defaultColWidth="12.6640625" defaultRowHeight="15" customHeight="1"/>
  <cols>
    <col min="1" max="1" width="12.6640625" customWidth="1"/>
    <col min="2" max="2" width="15.33203125" customWidth="1"/>
    <col min="3" max="3" width="13.6640625" customWidth="1"/>
    <col min="4" max="6" width="12.6640625" customWidth="1"/>
  </cols>
  <sheetData>
    <row r="1" spans="1:1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6" ht="15.75" customHeight="1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</row>
    <row r="3" spans="1:16" ht="15.75" customHeight="1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I3" s="4"/>
      <c r="J3" s="2"/>
      <c r="K3" s="2"/>
      <c r="L3" s="2"/>
      <c r="M3" s="2"/>
      <c r="N3" s="2"/>
      <c r="O3" s="2"/>
      <c r="P3" s="2"/>
    </row>
    <row r="4" spans="1:16" ht="15.75" customHeight="1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I4" s="2"/>
      <c r="J4" s="5"/>
      <c r="K4" s="2"/>
      <c r="L4" s="2"/>
      <c r="M4" s="2"/>
      <c r="N4" s="2"/>
      <c r="O4" s="2"/>
      <c r="P4" s="2"/>
    </row>
    <row r="5" spans="1:16" ht="15.75" customHeight="1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I5" s="2"/>
      <c r="J5" s="5"/>
      <c r="K5" s="2"/>
      <c r="L5" s="2"/>
      <c r="M5" s="2"/>
      <c r="N5" s="2"/>
      <c r="O5" s="2"/>
      <c r="P5" s="2"/>
    </row>
    <row r="6" spans="1:16" ht="15.75" customHeight="1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/>
    </row>
    <row r="7" spans="1:16" ht="15.75" customHeight="1">
      <c r="A7" s="3" t="s">
        <v>24</v>
      </c>
      <c r="B7" s="3" t="s">
        <v>25</v>
      </c>
      <c r="C7" s="3" t="s">
        <v>26</v>
      </c>
      <c r="D7" s="3"/>
      <c r="E7" s="3">
        <v>45</v>
      </c>
      <c r="F7" s="3" t="s">
        <v>27</v>
      </c>
    </row>
    <row r="8" spans="1:16" ht="15.75" customHeight="1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</row>
    <row r="9" spans="1:16" ht="15.75" customHeight="1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</row>
    <row r="10" spans="1:16" ht="15.75" customHeight="1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</row>
    <row r="11" spans="1:16" ht="15.75" customHeight="1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40</v>
      </c>
    </row>
    <row r="12" spans="1:16" ht="15.75" customHeight="1">
      <c r="A12" s="2" t="s">
        <v>41</v>
      </c>
      <c r="B12" s="2" t="s">
        <v>42</v>
      </c>
      <c r="C12" s="2" t="s">
        <v>43</v>
      </c>
      <c r="D12" s="2">
        <v>950</v>
      </c>
      <c r="E12" s="2">
        <v>25</v>
      </c>
      <c r="F12" s="2" t="s">
        <v>9</v>
      </c>
    </row>
    <row r="13" spans="1:16" ht="15.75" customHeight="1">
      <c r="A13" s="3" t="s">
        <v>44</v>
      </c>
      <c r="B13" s="3" t="s">
        <v>11</v>
      </c>
      <c r="C13" s="3" t="s">
        <v>30</v>
      </c>
      <c r="D13" s="3">
        <v>90</v>
      </c>
      <c r="E13" s="3">
        <v>40</v>
      </c>
      <c r="F13" s="3"/>
    </row>
    <row r="14" spans="1:16" ht="15.75" customHeight="1">
      <c r="A14" s="2" t="s">
        <v>45</v>
      </c>
      <c r="B14" s="2" t="s">
        <v>15</v>
      </c>
      <c r="C14" s="2" t="s">
        <v>46</v>
      </c>
      <c r="D14" s="2">
        <v>120</v>
      </c>
      <c r="E14" s="2">
        <v>35</v>
      </c>
      <c r="F14" s="2"/>
    </row>
    <row r="15" spans="1:16" ht="15.75" customHeight="1">
      <c r="A15" s="3" t="s">
        <v>47</v>
      </c>
      <c r="B15" s="3" t="s">
        <v>48</v>
      </c>
      <c r="C15" s="3" t="s">
        <v>49</v>
      </c>
      <c r="D15" s="3">
        <v>150</v>
      </c>
      <c r="E15" s="3">
        <v>15</v>
      </c>
      <c r="F15" s="3" t="s">
        <v>27</v>
      </c>
    </row>
    <row r="16" spans="1:16" ht="15.75" customHeight="1">
      <c r="A16" s="2" t="s">
        <v>50</v>
      </c>
      <c r="B16" s="2" t="s">
        <v>51</v>
      </c>
      <c r="C16" s="2" t="s">
        <v>52</v>
      </c>
      <c r="D16" s="2">
        <v>250</v>
      </c>
      <c r="E16" s="2">
        <v>20</v>
      </c>
      <c r="F16" s="2" t="s">
        <v>27</v>
      </c>
    </row>
    <row r="17" spans="1:6" ht="15.75" customHeight="1">
      <c r="A17" s="3" t="s">
        <v>53</v>
      </c>
      <c r="B17" s="3" t="s">
        <v>54</v>
      </c>
      <c r="C17" s="3" t="s">
        <v>55</v>
      </c>
      <c r="D17" s="3">
        <v>50</v>
      </c>
      <c r="E17" s="3">
        <v>35</v>
      </c>
      <c r="F17" s="3" t="s">
        <v>56</v>
      </c>
    </row>
    <row r="18" spans="1:6" ht="15.75" customHeight="1">
      <c r="A18" s="2" t="s">
        <v>57</v>
      </c>
      <c r="B18" s="2" t="s">
        <v>48</v>
      </c>
      <c r="C18" s="2" t="s">
        <v>58</v>
      </c>
      <c r="D18" s="2">
        <v>160</v>
      </c>
      <c r="E18" s="2">
        <v>15</v>
      </c>
      <c r="F18" s="2" t="s">
        <v>27</v>
      </c>
    </row>
    <row r="19" spans="1:6" ht="15.75" customHeight="1">
      <c r="A19" s="3" t="s">
        <v>59</v>
      </c>
      <c r="B19" s="3" t="s">
        <v>7</v>
      </c>
      <c r="C19" s="3" t="s">
        <v>60</v>
      </c>
      <c r="D19" s="3">
        <v>980</v>
      </c>
      <c r="E19" s="3">
        <v>10</v>
      </c>
      <c r="F19" s="3" t="s">
        <v>9</v>
      </c>
    </row>
    <row r="20" spans="1:6" ht="15.75" customHeight="1">
      <c r="A20" s="2" t="s">
        <v>61</v>
      </c>
      <c r="B20" s="2" t="s">
        <v>62</v>
      </c>
      <c r="C20" s="2" t="s">
        <v>63</v>
      </c>
      <c r="D20" s="2">
        <v>150</v>
      </c>
      <c r="E20" s="2">
        <v>15</v>
      </c>
      <c r="F20" s="2" t="s">
        <v>13</v>
      </c>
    </row>
    <row r="21" spans="1:6" ht="15.75" customHeight="1">
      <c r="A21" s="3" t="s">
        <v>64</v>
      </c>
      <c r="B21" s="3" t="s">
        <v>65</v>
      </c>
      <c r="C21" s="3" t="s">
        <v>66</v>
      </c>
      <c r="D21" s="3"/>
      <c r="E21" s="3">
        <v>10</v>
      </c>
      <c r="F21" s="3" t="s">
        <v>40</v>
      </c>
    </row>
    <row r="22" spans="1:6" ht="15.75" customHeight="1">
      <c r="A22" s="2" t="s">
        <v>67</v>
      </c>
      <c r="B22" s="2" t="s">
        <v>68</v>
      </c>
      <c r="C22" s="2" t="s">
        <v>69</v>
      </c>
      <c r="D22" s="2">
        <v>700</v>
      </c>
      <c r="E22" s="2">
        <v>50</v>
      </c>
      <c r="F22" s="2" t="s">
        <v>9</v>
      </c>
    </row>
    <row r="23" spans="1:6" ht="15.75" customHeight="1">
      <c r="A23" s="3" t="s">
        <v>70</v>
      </c>
      <c r="B23" s="3" t="s">
        <v>71</v>
      </c>
      <c r="C23" s="3" t="s">
        <v>72</v>
      </c>
      <c r="D23" s="3">
        <v>80</v>
      </c>
      <c r="E23" s="3">
        <v>20</v>
      </c>
      <c r="F23" s="3" t="s">
        <v>17</v>
      </c>
    </row>
    <row r="24" spans="1:6" ht="15.75" customHeight="1">
      <c r="A24" s="2" t="s">
        <v>73</v>
      </c>
      <c r="B24" s="2" t="s">
        <v>74</v>
      </c>
      <c r="C24" s="2" t="s">
        <v>75</v>
      </c>
      <c r="D24" s="2">
        <v>150</v>
      </c>
      <c r="E24" s="2">
        <v>30</v>
      </c>
      <c r="F24" s="2"/>
    </row>
    <row r="25" spans="1:6" ht="15.75" customHeight="1">
      <c r="A25" s="3" t="s">
        <v>53</v>
      </c>
      <c r="B25" s="3" t="s">
        <v>54</v>
      </c>
      <c r="C25" s="3" t="s">
        <v>55</v>
      </c>
      <c r="D25" s="3">
        <v>50</v>
      </c>
      <c r="E25" s="3">
        <v>35</v>
      </c>
      <c r="F25" s="3" t="s">
        <v>56</v>
      </c>
    </row>
    <row r="26" spans="1:6" ht="15.75" customHeight="1">
      <c r="A26" s="2" t="s">
        <v>76</v>
      </c>
      <c r="B26" s="2" t="s">
        <v>77</v>
      </c>
      <c r="C26" s="2" t="s">
        <v>78</v>
      </c>
      <c r="D26" s="2">
        <v>800</v>
      </c>
      <c r="E26" s="2">
        <v>45</v>
      </c>
      <c r="F26" s="2" t="s">
        <v>9</v>
      </c>
    </row>
    <row r="27" spans="1:6" ht="15.75" customHeight="1">
      <c r="A27" s="3" t="s">
        <v>79</v>
      </c>
      <c r="B27" s="3" t="s">
        <v>62</v>
      </c>
      <c r="C27" s="3" t="s">
        <v>80</v>
      </c>
      <c r="D27" s="3"/>
      <c r="E27" s="3">
        <v>25</v>
      </c>
      <c r="F27" s="3" t="s">
        <v>13</v>
      </c>
    </row>
    <row r="28" spans="1:6" ht="15.75" customHeight="1">
      <c r="A28" s="2" t="s">
        <v>81</v>
      </c>
      <c r="B28" s="2" t="s">
        <v>32</v>
      </c>
      <c r="C28" s="2" t="s">
        <v>82</v>
      </c>
      <c r="D28" s="2">
        <v>400</v>
      </c>
      <c r="E28" s="2">
        <v>40</v>
      </c>
      <c r="F28" s="2" t="s">
        <v>17</v>
      </c>
    </row>
    <row r="29" spans="1:6" ht="15.75" customHeight="1">
      <c r="A29" s="3" t="s">
        <v>50</v>
      </c>
      <c r="B29" s="3" t="s">
        <v>51</v>
      </c>
      <c r="C29" s="3" t="s">
        <v>52</v>
      </c>
      <c r="D29" s="3">
        <v>250</v>
      </c>
      <c r="E29" s="3">
        <v>20</v>
      </c>
      <c r="F29" s="3" t="s">
        <v>27</v>
      </c>
    </row>
    <row r="30" spans="1:6" ht="15.75" customHeight="1">
      <c r="A30" s="2" t="s">
        <v>83</v>
      </c>
      <c r="B30" s="2" t="s">
        <v>84</v>
      </c>
      <c r="C30" s="2" t="s">
        <v>85</v>
      </c>
      <c r="D30" s="2">
        <v>60</v>
      </c>
      <c r="E30" s="2">
        <v>30</v>
      </c>
      <c r="F30" s="2" t="s">
        <v>13</v>
      </c>
    </row>
    <row r="31" spans="1:6" ht="15.75" customHeight="1">
      <c r="A31" s="3" t="s">
        <v>86</v>
      </c>
      <c r="B31" s="3" t="s">
        <v>87</v>
      </c>
      <c r="C31" s="3" t="s">
        <v>88</v>
      </c>
      <c r="D31" s="3">
        <v>40</v>
      </c>
      <c r="E31" s="3">
        <v>10</v>
      </c>
      <c r="F31" s="3" t="s">
        <v>17</v>
      </c>
    </row>
    <row r="32" spans="1:6" ht="15.75" customHeight="1">
      <c r="A32" s="2" t="s">
        <v>89</v>
      </c>
      <c r="B32" s="2" t="s">
        <v>74</v>
      </c>
      <c r="C32" s="2" t="s">
        <v>90</v>
      </c>
      <c r="D32" s="2">
        <v>130</v>
      </c>
      <c r="E32" s="2">
        <v>5</v>
      </c>
      <c r="F32" s="2" t="s">
        <v>9</v>
      </c>
    </row>
    <row r="33" spans="1:6" ht="15.75" customHeight="1">
      <c r="A33" s="3" t="s">
        <v>91</v>
      </c>
      <c r="B33" s="3" t="s">
        <v>92</v>
      </c>
      <c r="C33" s="3" t="s">
        <v>93</v>
      </c>
      <c r="D33" s="3">
        <v>50</v>
      </c>
      <c r="E33" s="3">
        <v>50</v>
      </c>
      <c r="F33" s="3" t="s">
        <v>13</v>
      </c>
    </row>
    <row r="34" spans="1:6" ht="15.75" customHeight="1">
      <c r="A34" s="2" t="s">
        <v>41</v>
      </c>
      <c r="B34" s="2" t="s">
        <v>42</v>
      </c>
      <c r="C34" s="2" t="s">
        <v>43</v>
      </c>
      <c r="D34" s="2">
        <v>950</v>
      </c>
      <c r="E34" s="2">
        <v>25</v>
      </c>
      <c r="F34" s="2" t="s">
        <v>9</v>
      </c>
    </row>
    <row r="35" spans="1:6" ht="15.75" customHeight="1">
      <c r="A35" s="3" t="s">
        <v>94</v>
      </c>
      <c r="B35" s="3" t="s">
        <v>95</v>
      </c>
      <c r="C35" s="3" t="s">
        <v>96</v>
      </c>
      <c r="D35" s="3">
        <v>100</v>
      </c>
      <c r="E35" s="3">
        <v>20</v>
      </c>
      <c r="F35" s="3" t="s">
        <v>56</v>
      </c>
    </row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5FCC4-0FC3-4018-B3C0-6F9D3B151999}">
  <dimension ref="A1:J32"/>
  <sheetViews>
    <sheetView tabSelected="1" workbookViewId="0">
      <selection activeCell="E26" sqref="E26"/>
    </sheetView>
  </sheetViews>
  <sheetFormatPr defaultRowHeight="13.2"/>
  <cols>
    <col min="1" max="1" width="12.5546875" bestFit="1" customWidth="1"/>
    <col min="2" max="2" width="20.44140625" bestFit="1" customWidth="1"/>
    <col min="3" max="3" width="15.5546875" bestFit="1" customWidth="1"/>
    <col min="4" max="4" width="21.5546875" bestFit="1" customWidth="1"/>
    <col min="5" max="5" width="15.77734375" bestFit="1" customWidth="1"/>
    <col min="6" max="6" width="14" bestFit="1" customWidth="1"/>
    <col min="7" max="7" width="10.5546875" bestFit="1" customWidth="1"/>
    <col min="8" max="8" width="12.77734375" customWidth="1"/>
    <col min="9" max="9" width="10.6640625" bestFit="1" customWidth="1"/>
    <col min="10" max="10" width="11.21875" bestFit="1" customWidth="1"/>
  </cols>
  <sheetData>
    <row r="1" spans="1:10">
      <c r="A1" t="s">
        <v>0</v>
      </c>
      <c r="B1" t="s">
        <v>97</v>
      </c>
      <c r="C1" t="s">
        <v>98</v>
      </c>
      <c r="D1" s="10" t="s">
        <v>99</v>
      </c>
      <c r="E1" t="s">
        <v>1</v>
      </c>
      <c r="F1" t="s">
        <v>2</v>
      </c>
      <c r="G1" t="s">
        <v>3</v>
      </c>
      <c r="H1" t="s">
        <v>143</v>
      </c>
      <c r="I1" t="s">
        <v>4</v>
      </c>
      <c r="J1" t="s">
        <v>5</v>
      </c>
    </row>
    <row r="2" spans="1:10">
      <c r="A2" s="6" t="s">
        <v>31</v>
      </c>
      <c r="B2" s="7">
        <v>46257</v>
      </c>
      <c r="C2" s="6" t="s">
        <v>106</v>
      </c>
      <c r="D2" s="6" t="s">
        <v>109</v>
      </c>
      <c r="E2" s="6" t="s">
        <v>32</v>
      </c>
      <c r="F2" s="6" t="s">
        <v>33</v>
      </c>
      <c r="G2" s="8">
        <v>90</v>
      </c>
      <c r="H2" s="9">
        <f>IF(ISBLANK(Sales_Data[[#This Row],[Price ($)]]),AVERAGEIF(Sales_Data[Category],Sales_Data[[#This Row],[Category]],$G$2:$G$32),Sales_Data[[#This Row],[Price ($)]])</f>
        <v>90</v>
      </c>
      <c r="I2" s="6">
        <v>35</v>
      </c>
      <c r="J2" s="6" t="s">
        <v>17</v>
      </c>
    </row>
    <row r="3" spans="1:10">
      <c r="A3" s="6" t="s">
        <v>81</v>
      </c>
      <c r="B3" s="7">
        <v>46214</v>
      </c>
      <c r="C3" s="6" t="s">
        <v>118</v>
      </c>
      <c r="D3" s="6" t="s">
        <v>136</v>
      </c>
      <c r="E3" s="6" t="s">
        <v>32</v>
      </c>
      <c r="F3" s="6" t="s">
        <v>82</v>
      </c>
      <c r="G3" s="8">
        <v>400</v>
      </c>
      <c r="H3" s="9">
        <f>IF(ISBLANK(Sales_Data[[#This Row],[Price ($)]]),AVERAGEIF(Sales_Data[Category],Sales_Data[[#This Row],[Category]],$G$2:$G$32),Sales_Data[[#This Row],[Price ($)]])</f>
        <v>400</v>
      </c>
      <c r="I3" s="6">
        <v>40</v>
      </c>
      <c r="J3" s="6" t="s">
        <v>17</v>
      </c>
    </row>
    <row r="4" spans="1:10">
      <c r="A4" s="6" t="s">
        <v>14</v>
      </c>
      <c r="B4" s="7">
        <v>46084</v>
      </c>
      <c r="C4" s="6" t="s">
        <v>100</v>
      </c>
      <c r="D4" s="6" t="s">
        <v>103</v>
      </c>
      <c r="E4" s="6" t="s">
        <v>15</v>
      </c>
      <c r="F4" s="6" t="s">
        <v>16</v>
      </c>
      <c r="G4" s="8">
        <v>130</v>
      </c>
      <c r="H4" s="9">
        <f>IF(ISBLANK(Sales_Data[[#This Row],[Price ($)]]),AVERAGEIF(Sales_Data[Category],Sales_Data[[#This Row],[Category]],$G$2:$G$32),Sales_Data[[#This Row],[Price ($)]])</f>
        <v>130</v>
      </c>
      <c r="I4" s="6">
        <v>40</v>
      </c>
      <c r="J4" s="6" t="s">
        <v>17</v>
      </c>
    </row>
    <row r="5" spans="1:10">
      <c r="A5" s="6" t="s">
        <v>45</v>
      </c>
      <c r="B5" s="7">
        <v>46364</v>
      </c>
      <c r="C5" s="6" t="s">
        <v>116</v>
      </c>
      <c r="D5" s="6" t="s">
        <v>117</v>
      </c>
      <c r="E5" s="11" t="s">
        <v>15</v>
      </c>
      <c r="F5" s="6" t="s">
        <v>46</v>
      </c>
      <c r="G5" s="8">
        <v>120</v>
      </c>
      <c r="H5" s="9">
        <f>IF(ISBLANK(Sales_Data[[#This Row],[Price ($)]]),AVERAGEIF(Sales_Data[Category],Sales_Data[[#This Row],[Category]],$G$2:$G$32),Sales_Data[[#This Row],[Price ($)]])</f>
        <v>120</v>
      </c>
      <c r="I5" s="6">
        <v>35</v>
      </c>
      <c r="J5" s="6" t="s">
        <v>17</v>
      </c>
    </row>
    <row r="6" spans="1:10">
      <c r="A6" s="6" t="s">
        <v>21</v>
      </c>
      <c r="B6" s="7">
        <v>46164</v>
      </c>
      <c r="C6" s="6" t="s">
        <v>100</v>
      </c>
      <c r="D6" s="6" t="s">
        <v>105</v>
      </c>
      <c r="E6" s="11" t="s">
        <v>22</v>
      </c>
      <c r="F6" s="6" t="s">
        <v>23</v>
      </c>
      <c r="G6" s="8">
        <v>70</v>
      </c>
      <c r="H6" s="9">
        <f>IF(ISBLANK(Sales_Data[[#This Row],[Price ($)]]),AVERAGEIF(Sales_Data[Category],Sales_Data[[#This Row],[Category]],$G$2:$G$32),Sales_Data[[#This Row],[Price ($)]])</f>
        <v>70</v>
      </c>
      <c r="I6" s="6">
        <v>20</v>
      </c>
      <c r="J6" s="6" t="s">
        <v>9</v>
      </c>
    </row>
    <row r="7" spans="1:10">
      <c r="A7" s="6" t="s">
        <v>73</v>
      </c>
      <c r="B7" s="7">
        <v>46222</v>
      </c>
      <c r="C7" s="6" t="s">
        <v>132</v>
      </c>
      <c r="D7" s="6" t="s">
        <v>133</v>
      </c>
      <c r="E7" s="11" t="s">
        <v>74</v>
      </c>
      <c r="F7" s="6" t="s">
        <v>75</v>
      </c>
      <c r="G7" s="8">
        <v>150</v>
      </c>
      <c r="H7" s="9">
        <f>IF(ISBLANK(Sales_Data[[#This Row],[Price ($)]]),AVERAGEIF(Sales_Data[Category],Sales_Data[[#This Row],[Category]],$G$2:$G$32),Sales_Data[[#This Row],[Price ($)]])</f>
        <v>150</v>
      </c>
      <c r="I7" s="6">
        <v>30</v>
      </c>
      <c r="J7" s="6" t="s">
        <v>9</v>
      </c>
    </row>
    <row r="8" spans="1:10">
      <c r="A8" s="6" t="s">
        <v>28</v>
      </c>
      <c r="B8" s="7">
        <v>46222</v>
      </c>
      <c r="C8" s="6" t="s">
        <v>106</v>
      </c>
      <c r="D8" s="6" t="s">
        <v>108</v>
      </c>
      <c r="E8" s="11" t="s">
        <v>29</v>
      </c>
      <c r="F8" s="6" t="s">
        <v>30</v>
      </c>
      <c r="G8" s="8">
        <v>30</v>
      </c>
      <c r="H8" s="9">
        <f>IF(ISBLANK(Sales_Data[[#This Row],[Price ($)]]),AVERAGEIF(Sales_Data[Category],Sales_Data[[#This Row],[Category]],$G$2:$G$32),Sales_Data[[#This Row],[Price ($)]])</f>
        <v>30</v>
      </c>
      <c r="I8" s="6">
        <v>5</v>
      </c>
      <c r="J8" s="6" t="s">
        <v>13</v>
      </c>
    </row>
    <row r="9" spans="1:10">
      <c r="A9" s="6" t="s">
        <v>89</v>
      </c>
      <c r="B9" s="7">
        <v>46166</v>
      </c>
      <c r="C9" s="6" t="s">
        <v>118</v>
      </c>
      <c r="D9" s="6" t="s">
        <v>139</v>
      </c>
      <c r="E9" s="6" t="s">
        <v>74</v>
      </c>
      <c r="F9" s="6" t="s">
        <v>90</v>
      </c>
      <c r="G9" s="8">
        <v>130</v>
      </c>
      <c r="H9" s="9">
        <f>IF(ISBLANK(Sales_Data[[#This Row],[Price ($)]]),AVERAGEIF(Sales_Data[Category],Sales_Data[[#This Row],[Category]],$G$2:$G$32),Sales_Data[[#This Row],[Price ($)]])</f>
        <v>130</v>
      </c>
      <c r="I9" s="6">
        <v>5</v>
      </c>
      <c r="J9" s="6" t="s">
        <v>9</v>
      </c>
    </row>
    <row r="10" spans="1:10">
      <c r="A10" s="6" t="s">
        <v>34</v>
      </c>
      <c r="B10" s="7">
        <v>46270</v>
      </c>
      <c r="C10" s="6" t="s">
        <v>106</v>
      </c>
      <c r="D10" s="6" t="s">
        <v>110</v>
      </c>
      <c r="E10" s="6" t="s">
        <v>35</v>
      </c>
      <c r="F10" s="6" t="s">
        <v>36</v>
      </c>
      <c r="G10" s="8">
        <v>500</v>
      </c>
      <c r="H10" s="9">
        <f>IF(ISBLANK(Sales_Data[[#This Row],[Price ($)]]),AVERAGEIF(Sales_Data[Category],Sales_Data[[#This Row],[Category]],$G$2:$G$32),Sales_Data[[#This Row],[Price ($)]])</f>
        <v>500</v>
      </c>
      <c r="I10" s="6">
        <v>50</v>
      </c>
      <c r="J10" s="6" t="s">
        <v>9</v>
      </c>
    </row>
    <row r="11" spans="1:10">
      <c r="A11" s="6" t="s">
        <v>37</v>
      </c>
      <c r="B11" s="7">
        <v>46309</v>
      </c>
      <c r="C11" s="6" t="s">
        <v>106</v>
      </c>
      <c r="D11" s="6" t="s">
        <v>111</v>
      </c>
      <c r="E11" s="6" t="s">
        <v>38</v>
      </c>
      <c r="F11" s="6" t="s">
        <v>39</v>
      </c>
      <c r="G11" s="8">
        <v>130</v>
      </c>
      <c r="H11" s="9">
        <f>IF(ISBLANK(Sales_Data[[#This Row],[Price ($)]]),AVERAGEIF(Sales_Data[Category],Sales_Data[[#This Row],[Category]],$G$2:$G$32),Sales_Data[[#This Row],[Price ($)]])</f>
        <v>130</v>
      </c>
      <c r="I11" s="6">
        <v>10</v>
      </c>
      <c r="J11" s="6" t="s">
        <v>40</v>
      </c>
    </row>
    <row r="12" spans="1:10">
      <c r="A12" s="6" t="s">
        <v>24</v>
      </c>
      <c r="B12" s="7">
        <v>46180</v>
      </c>
      <c r="C12" s="6" t="s">
        <v>106</v>
      </c>
      <c r="D12" s="6" t="s">
        <v>107</v>
      </c>
      <c r="E12" s="6" t="s">
        <v>25</v>
      </c>
      <c r="F12" s="6" t="s">
        <v>26</v>
      </c>
      <c r="G12" s="8"/>
      <c r="H12" s="9">
        <f>IF(ISBLANK(Sales_Data[[#This Row],[Price ($)]]),AVERAGEIF(Sales_Data[Category],Sales_Data[[#This Row],[Category]],$G$2:$G$32),Sales_Data[[#This Row],[Price ($)]])</f>
        <v>518.46153846153845</v>
      </c>
      <c r="I12" s="6">
        <v>45</v>
      </c>
      <c r="J12" s="6" t="s">
        <v>9</v>
      </c>
    </row>
    <row r="13" spans="1:10">
      <c r="A13" s="6" t="s">
        <v>50</v>
      </c>
      <c r="B13" s="7">
        <v>46128</v>
      </c>
      <c r="C13" s="6" t="s">
        <v>120</v>
      </c>
      <c r="D13" s="6" t="s">
        <v>121</v>
      </c>
      <c r="E13" s="6" t="s">
        <v>25</v>
      </c>
      <c r="F13" s="6" t="s">
        <v>52</v>
      </c>
      <c r="G13" s="8">
        <v>250</v>
      </c>
      <c r="H13" s="9">
        <f>IF(ISBLANK(Sales_Data[[#This Row],[Price ($)]]),AVERAGEIF(Sales_Data[Category],Sales_Data[[#This Row],[Category]],$G$2:$G$32),Sales_Data[[#This Row],[Price ($)]])</f>
        <v>250</v>
      </c>
      <c r="I13" s="6">
        <v>20</v>
      </c>
      <c r="J13" s="6" t="s">
        <v>9</v>
      </c>
    </row>
    <row r="14" spans="1:10">
      <c r="A14" s="6" t="s">
        <v>6</v>
      </c>
      <c r="B14" s="7">
        <v>46050</v>
      </c>
      <c r="C14" s="6" t="s">
        <v>100</v>
      </c>
      <c r="D14" s="6" t="s">
        <v>101</v>
      </c>
      <c r="E14" s="6" t="s">
        <v>42</v>
      </c>
      <c r="F14" s="6" t="s">
        <v>8</v>
      </c>
      <c r="G14" s="8">
        <v>1000</v>
      </c>
      <c r="H14" s="9">
        <f>IF(ISBLANK(Sales_Data[[#This Row],[Price ($)]]),AVERAGEIF(Sales_Data[Category],Sales_Data[[#This Row],[Category]],$G$2:$G$32),Sales_Data[[#This Row],[Price ($)]])</f>
        <v>1000</v>
      </c>
      <c r="I14" s="6">
        <v>30</v>
      </c>
      <c r="J14" s="6" t="s">
        <v>9</v>
      </c>
    </row>
    <row r="15" spans="1:10">
      <c r="A15" s="6" t="s">
        <v>41</v>
      </c>
      <c r="B15" s="7">
        <v>46190</v>
      </c>
      <c r="C15" s="6" t="s">
        <v>112</v>
      </c>
      <c r="D15" s="6" t="s">
        <v>113</v>
      </c>
      <c r="E15" s="6" t="s">
        <v>42</v>
      </c>
      <c r="F15" s="6" t="s">
        <v>43</v>
      </c>
      <c r="G15" s="8">
        <v>950</v>
      </c>
      <c r="H15" s="9">
        <f>IF(ISBLANK(Sales_Data[[#This Row],[Price ($)]]),AVERAGEIF(Sales_Data[Category],Sales_Data[[#This Row],[Category]],$G$2:$G$32),Sales_Data[[#This Row],[Price ($)]])</f>
        <v>950</v>
      </c>
      <c r="I15" s="6">
        <v>25</v>
      </c>
      <c r="J15" s="6" t="s">
        <v>9</v>
      </c>
    </row>
    <row r="16" spans="1:10">
      <c r="A16" s="6" t="s">
        <v>59</v>
      </c>
      <c r="B16" s="7">
        <v>46049</v>
      </c>
      <c r="C16" s="6" t="s">
        <v>125</v>
      </c>
      <c r="D16" s="6" t="s">
        <v>126</v>
      </c>
      <c r="E16" s="6" t="s">
        <v>42</v>
      </c>
      <c r="F16" s="6" t="s">
        <v>60</v>
      </c>
      <c r="G16" s="8">
        <v>980</v>
      </c>
      <c r="H16" s="9">
        <f>IF(ISBLANK(Sales_Data[[#This Row],[Price ($)]]),AVERAGEIF(Sales_Data[Category],Sales_Data[[#This Row],[Category]],$G$2:$G$32),Sales_Data[[#This Row],[Price ($)]])</f>
        <v>980</v>
      </c>
      <c r="I16" s="6">
        <v>10</v>
      </c>
      <c r="J16" s="6" t="s">
        <v>9</v>
      </c>
    </row>
    <row r="17" spans="1:10">
      <c r="A17" s="6" t="s">
        <v>53</v>
      </c>
      <c r="B17" s="7">
        <v>46255</v>
      </c>
      <c r="C17" s="6" t="s">
        <v>118</v>
      </c>
      <c r="D17" s="6" t="s">
        <v>122</v>
      </c>
      <c r="E17" s="6" t="s">
        <v>54</v>
      </c>
      <c r="F17" s="6" t="s">
        <v>55</v>
      </c>
      <c r="G17" s="8">
        <v>50</v>
      </c>
      <c r="H17" s="9">
        <f>IF(ISBLANK(Sales_Data[[#This Row],[Price ($)]]),AVERAGEIF(Sales_Data[Category],Sales_Data[[#This Row],[Category]],$G$2:$G$32),Sales_Data[[#This Row],[Price ($)]])</f>
        <v>50</v>
      </c>
      <c r="I17" s="6">
        <v>35</v>
      </c>
      <c r="J17" s="6" t="s">
        <v>56</v>
      </c>
    </row>
    <row r="18" spans="1:10">
      <c r="A18" s="6" t="s">
        <v>18</v>
      </c>
      <c r="B18" s="7">
        <v>46123</v>
      </c>
      <c r="C18" s="6" t="s">
        <v>100</v>
      </c>
      <c r="D18" s="6" t="s">
        <v>104</v>
      </c>
      <c r="E18" s="6" t="s">
        <v>77</v>
      </c>
      <c r="F18" s="6" t="s">
        <v>20</v>
      </c>
      <c r="G18" s="8">
        <v>900</v>
      </c>
      <c r="H18" s="9">
        <f>IF(ISBLANK(Sales_Data[[#This Row],[Price ($)]]),AVERAGEIF(Sales_Data[Category],Sales_Data[[#This Row],[Category]],$G$2:$G$32),Sales_Data[[#This Row],[Price ($)]])</f>
        <v>900</v>
      </c>
      <c r="I18" s="6">
        <v>25</v>
      </c>
      <c r="J18" s="6" t="s">
        <v>9</v>
      </c>
    </row>
    <row r="19" spans="1:10">
      <c r="A19" s="6" t="s">
        <v>76</v>
      </c>
      <c r="B19" s="7">
        <v>46294</v>
      </c>
      <c r="C19" s="6" t="s">
        <v>118</v>
      </c>
      <c r="D19" s="6" t="s">
        <v>134</v>
      </c>
      <c r="E19" s="6" t="s">
        <v>77</v>
      </c>
      <c r="F19" s="6" t="s">
        <v>78</v>
      </c>
      <c r="G19" s="8">
        <v>800</v>
      </c>
      <c r="H19" s="9">
        <f>IF(ISBLANK(Sales_Data[[#This Row],[Price ($)]]),AVERAGEIF(Sales_Data[Category],Sales_Data[[#This Row],[Category]],$G$2:$G$32),Sales_Data[[#This Row],[Price ($)]])</f>
        <v>800</v>
      </c>
      <c r="I19" s="6">
        <v>45</v>
      </c>
      <c r="J19" s="6" t="s">
        <v>9</v>
      </c>
    </row>
    <row r="20" spans="1:10">
      <c r="A20" s="6" t="s">
        <v>47</v>
      </c>
      <c r="B20" s="7">
        <v>46071</v>
      </c>
      <c r="C20" s="6" t="s">
        <v>118</v>
      </c>
      <c r="D20" s="6" t="s">
        <v>119</v>
      </c>
      <c r="E20" s="6" t="s">
        <v>48</v>
      </c>
      <c r="F20" s="6" t="s">
        <v>49</v>
      </c>
      <c r="G20" s="8">
        <v>150</v>
      </c>
      <c r="H20" s="9">
        <f>IF(ISBLANK(Sales_Data[[#This Row],[Price ($)]]),AVERAGEIF(Sales_Data[Category],Sales_Data[[#This Row],[Category]],$G$2:$G$32),Sales_Data[[#This Row],[Price ($)]])</f>
        <v>150</v>
      </c>
      <c r="I20" s="6">
        <v>15</v>
      </c>
      <c r="J20" s="6" t="s">
        <v>9</v>
      </c>
    </row>
    <row r="21" spans="1:10">
      <c r="A21" s="6" t="s">
        <v>64</v>
      </c>
      <c r="B21" s="7">
        <v>46248</v>
      </c>
      <c r="C21" s="6" t="s">
        <v>100</v>
      </c>
      <c r="D21" s="6" t="s">
        <v>128</v>
      </c>
      <c r="E21" s="6" t="s">
        <v>65</v>
      </c>
      <c r="F21" s="6" t="s">
        <v>66</v>
      </c>
      <c r="G21" s="8"/>
      <c r="H21" s="9">
        <f>IF(ISBLANK(Sales_Data[[#This Row],[Price ($)]]),AVERAGEIF(Sales_Data[Category],Sales_Data[[#This Row],[Category]],$G$2:$G$32),Sales_Data[[#This Row],[Price ($)]])</f>
        <v>130</v>
      </c>
      <c r="I21" s="6">
        <v>10</v>
      </c>
      <c r="J21" s="6" t="s">
        <v>40</v>
      </c>
    </row>
    <row r="22" spans="1:10">
      <c r="A22" s="6" t="s">
        <v>67</v>
      </c>
      <c r="B22" s="7">
        <v>46156</v>
      </c>
      <c r="C22" s="6" t="s">
        <v>129</v>
      </c>
      <c r="D22" s="6" t="s">
        <v>130</v>
      </c>
      <c r="E22" s="6" t="s">
        <v>68</v>
      </c>
      <c r="F22" s="6" t="s">
        <v>69</v>
      </c>
      <c r="G22" s="8">
        <v>700</v>
      </c>
      <c r="H22" s="9">
        <f>IF(ISBLANK(Sales_Data[[#This Row],[Price ($)]]),AVERAGEIF(Sales_Data[Category],Sales_Data[[#This Row],[Category]],$G$2:$G$32),Sales_Data[[#This Row],[Price ($)]])</f>
        <v>700</v>
      </c>
      <c r="I22" s="6">
        <v>50</v>
      </c>
      <c r="J22" s="6" t="s">
        <v>9</v>
      </c>
    </row>
    <row r="23" spans="1:10">
      <c r="A23" s="6" t="s">
        <v>70</v>
      </c>
      <c r="B23" s="7">
        <v>46031</v>
      </c>
      <c r="C23" s="6" t="s">
        <v>118</v>
      </c>
      <c r="D23" s="6" t="s">
        <v>131</v>
      </c>
      <c r="E23" s="6" t="s">
        <v>71</v>
      </c>
      <c r="F23" s="6" t="s">
        <v>72</v>
      </c>
      <c r="G23" s="8">
        <v>80</v>
      </c>
      <c r="H23" s="9">
        <f>IF(ISBLANK(Sales_Data[[#This Row],[Price ($)]]),AVERAGEIF(Sales_Data[Category],Sales_Data[[#This Row],[Category]],$G$2:$G$32),Sales_Data[[#This Row],[Price ($)]])</f>
        <v>80</v>
      </c>
      <c r="I23" s="6">
        <v>20</v>
      </c>
      <c r="J23" s="6" t="s">
        <v>17</v>
      </c>
    </row>
    <row r="24" spans="1:10">
      <c r="A24" s="6" t="s">
        <v>57</v>
      </c>
      <c r="B24" s="7">
        <v>46254</v>
      </c>
      <c r="C24" s="6" t="s">
        <v>123</v>
      </c>
      <c r="D24" s="6" t="s">
        <v>124</v>
      </c>
      <c r="E24" s="6" t="s">
        <v>48</v>
      </c>
      <c r="F24" s="6" t="s">
        <v>58</v>
      </c>
      <c r="G24" s="8">
        <v>160</v>
      </c>
      <c r="H24" s="9">
        <f>IF(ISBLANK(Sales_Data[[#This Row],[Price ($)]]),AVERAGEIF(Sales_Data[Category],Sales_Data[[#This Row],[Category]],$G$2:$G$32),Sales_Data[[#This Row],[Price ($)]])</f>
        <v>160</v>
      </c>
      <c r="I24" s="6">
        <v>15</v>
      </c>
      <c r="J24" s="6" t="s">
        <v>9</v>
      </c>
    </row>
    <row r="25" spans="1:10">
      <c r="A25" s="6" t="s">
        <v>10</v>
      </c>
      <c r="B25" s="7">
        <v>46068</v>
      </c>
      <c r="C25" s="6" t="s">
        <v>100</v>
      </c>
      <c r="D25" s="6" t="s">
        <v>102</v>
      </c>
      <c r="E25" s="6" t="s">
        <v>11</v>
      </c>
      <c r="F25" s="6" t="s">
        <v>12</v>
      </c>
      <c r="G25" s="8">
        <v>80</v>
      </c>
      <c r="H25" s="9">
        <f>IF(ISBLANK(Sales_Data[[#This Row],[Price ($)]]),AVERAGEIF(Sales_Data[Category],Sales_Data[[#This Row],[Category]],$G$2:$G$32),Sales_Data[[#This Row],[Price ($)]])</f>
        <v>80</v>
      </c>
      <c r="I25" s="6">
        <v>15</v>
      </c>
      <c r="J25" s="6" t="s">
        <v>13</v>
      </c>
    </row>
    <row r="26" spans="1:10">
      <c r="A26" s="6" t="s">
        <v>44</v>
      </c>
      <c r="B26" s="7">
        <v>46351</v>
      </c>
      <c r="C26" s="6" t="s">
        <v>114</v>
      </c>
      <c r="D26" s="6" t="s">
        <v>115</v>
      </c>
      <c r="E26" s="11" t="s">
        <v>11</v>
      </c>
      <c r="F26" s="6" t="s">
        <v>30</v>
      </c>
      <c r="G26" s="8">
        <v>90</v>
      </c>
      <c r="H26" s="9">
        <f>IF(ISBLANK(Sales_Data[[#This Row],[Price ($)]]),AVERAGEIF(Sales_Data[Category],Sales_Data[[#This Row],[Category]],$G$2:$G$32),Sales_Data[[#This Row],[Price ($)]])</f>
        <v>90</v>
      </c>
      <c r="I26" s="6">
        <v>40</v>
      </c>
      <c r="J26" s="6" t="s">
        <v>13</v>
      </c>
    </row>
    <row r="27" spans="1:10">
      <c r="A27" s="6" t="s">
        <v>61</v>
      </c>
      <c r="B27" s="7">
        <v>46082</v>
      </c>
      <c r="C27" s="6" t="s">
        <v>106</v>
      </c>
      <c r="D27" s="6" t="s">
        <v>127</v>
      </c>
      <c r="E27" s="6" t="s">
        <v>62</v>
      </c>
      <c r="F27" s="6" t="s">
        <v>63</v>
      </c>
      <c r="G27" s="8">
        <v>150</v>
      </c>
      <c r="H27" s="9">
        <f>IF(ISBLANK(Sales_Data[[#This Row],[Price ($)]]),AVERAGEIF(Sales_Data[Category],Sales_Data[[#This Row],[Category]],$G$2:$G$32),Sales_Data[[#This Row],[Price ($)]])</f>
        <v>150</v>
      </c>
      <c r="I27" s="6">
        <v>15</v>
      </c>
      <c r="J27" s="6" t="s">
        <v>13</v>
      </c>
    </row>
    <row r="28" spans="1:10">
      <c r="A28" s="6" t="s">
        <v>83</v>
      </c>
      <c r="B28" s="7">
        <v>46088</v>
      </c>
      <c r="C28" s="6" t="s">
        <v>118</v>
      </c>
      <c r="D28" s="6" t="s">
        <v>137</v>
      </c>
      <c r="E28" s="6" t="s">
        <v>84</v>
      </c>
      <c r="F28" s="6" t="s">
        <v>85</v>
      </c>
      <c r="G28" s="8">
        <v>60</v>
      </c>
      <c r="H28" s="9">
        <f>IF(ISBLANK(Sales_Data[[#This Row],[Price ($)]]),AVERAGEIF(Sales_Data[Category],Sales_Data[[#This Row],[Category]],$G$2:$G$32),Sales_Data[[#This Row],[Price ($)]])</f>
        <v>60</v>
      </c>
      <c r="I28" s="6">
        <v>30</v>
      </c>
      <c r="J28" s="6" t="s">
        <v>13</v>
      </c>
    </row>
    <row r="29" spans="1:10">
      <c r="A29" s="6" t="s">
        <v>86</v>
      </c>
      <c r="B29" s="7">
        <v>46125</v>
      </c>
      <c r="C29" s="6" t="s">
        <v>118</v>
      </c>
      <c r="D29" s="6" t="s">
        <v>138</v>
      </c>
      <c r="E29" s="6" t="s">
        <v>87</v>
      </c>
      <c r="F29" s="6" t="s">
        <v>88</v>
      </c>
      <c r="G29" s="8">
        <v>40</v>
      </c>
      <c r="H29" s="9">
        <f>IF(ISBLANK(Sales_Data[[#This Row],[Price ($)]]),AVERAGEIF(Sales_Data[Category],Sales_Data[[#This Row],[Category]],$G$2:$G$32),Sales_Data[[#This Row],[Price ($)]])</f>
        <v>40</v>
      </c>
      <c r="I29" s="6">
        <v>10</v>
      </c>
      <c r="J29" s="6" t="s">
        <v>17</v>
      </c>
    </row>
    <row r="30" spans="1:10">
      <c r="A30" s="6" t="s">
        <v>79</v>
      </c>
      <c r="B30" s="7">
        <v>46176</v>
      </c>
      <c r="C30" s="6" t="s">
        <v>118</v>
      </c>
      <c r="D30" s="6" t="s">
        <v>135</v>
      </c>
      <c r="E30" s="6" t="s">
        <v>62</v>
      </c>
      <c r="F30" s="6" t="s">
        <v>80</v>
      </c>
      <c r="G30" s="8"/>
      <c r="H30" s="9">
        <f>IF(ISBLANK(Sales_Data[[#This Row],[Price ($)]]),AVERAGEIF(Sales_Data[Category],Sales_Data[[#This Row],[Category]],$G$2:$G$32),Sales_Data[[#This Row],[Price ($)]])</f>
        <v>76.666666666666671</v>
      </c>
      <c r="I30" s="6">
        <v>25</v>
      </c>
      <c r="J30" s="6" t="s">
        <v>13</v>
      </c>
    </row>
    <row r="31" spans="1:10">
      <c r="A31" s="6" t="s">
        <v>91</v>
      </c>
      <c r="B31" s="7">
        <v>46358</v>
      </c>
      <c r="C31" s="6" t="s">
        <v>118</v>
      </c>
      <c r="D31" s="6" t="s">
        <v>140</v>
      </c>
      <c r="E31" s="6" t="s">
        <v>92</v>
      </c>
      <c r="F31" s="6" t="s">
        <v>93</v>
      </c>
      <c r="G31" s="8">
        <v>50</v>
      </c>
      <c r="H31" s="9">
        <f>IF(ISBLANK(Sales_Data[[#This Row],[Price ($)]]),AVERAGEIF(Sales_Data[Category],Sales_Data[[#This Row],[Category]],$G$2:$G$32),Sales_Data[[#This Row],[Price ($)]])</f>
        <v>50</v>
      </c>
      <c r="I31" s="6">
        <v>50</v>
      </c>
      <c r="J31" s="6" t="s">
        <v>13</v>
      </c>
    </row>
    <row r="32" spans="1:10">
      <c r="A32" s="6" t="s">
        <v>94</v>
      </c>
      <c r="B32" s="7">
        <v>46212</v>
      </c>
      <c r="C32" s="6" t="s">
        <v>141</v>
      </c>
      <c r="D32" s="6" t="s">
        <v>142</v>
      </c>
      <c r="E32" s="6" t="s">
        <v>95</v>
      </c>
      <c r="F32" s="6" t="s">
        <v>96</v>
      </c>
      <c r="G32" s="8">
        <v>100</v>
      </c>
      <c r="H32" s="9">
        <f>IF(ISBLANK(Sales_Data[[#This Row],[Price ($)]]),AVERAGEIF(Sales_Data[Category],Sales_Data[[#This Row],[Category]],$G$2:$G$32),Sales_Data[[#This Row],[Price ($)]])</f>
        <v>100</v>
      </c>
      <c r="I32" s="6">
        <v>20</v>
      </c>
      <c r="J32" s="6" t="s">
        <v>56</v>
      </c>
    </row>
  </sheetData>
  <conditionalFormatting sqref="H2:H32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{CCFF078C-4D71-4A68-A68A-CB1BC10D8AC2}</x14:id>
        </ext>
      </extLst>
    </cfRule>
  </conditionalFormatting>
  <conditionalFormatting sqref="I2:I32">
    <cfRule type="iconSet" priority="1">
      <iconSet iconSet="3Arrows">
        <cfvo type="percent" val="0"/>
        <cfvo type="percent" val="33"/>
        <cfvo type="percent" val="67"/>
      </iconSet>
    </cfRule>
  </conditionalFormatting>
  <conditionalFormatting sqref="J2:J32">
    <cfRule type="containsText" dxfId="0" priority="3" operator="containsText" text="Electronics">
      <formula>NOT(ISERROR(SEARCH("Electronics",J2)))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CFF078C-4D71-4A68-A68A-CB1BC10D8AC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H2:H32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4F48C7-0A67-4A5A-8E79-EC9F1870FE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Parkavi Thirumal</cp:lastModifiedBy>
  <dcterms:created xsi:type="dcterms:W3CDTF">2026-07-23T14:43:37Z</dcterms:created>
  <dcterms:modified xsi:type="dcterms:W3CDTF">2026-09-23T09:33:35Z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8359FE2C7BAF4D28ADCFE4336C4EBA81_12</vt:lpwstr>
  </property>
  <property fmtid="{D5CDD505-2E9C-101B-9397-08002B2CF9AE}" pid="3" name="KSOProductBuildVer">
    <vt:lpwstr>2057-12.2.0.23206</vt:lpwstr>
  </property>
</Properties>
</file>